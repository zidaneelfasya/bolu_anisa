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idane\Downloads\"/>
    </mc:Choice>
  </mc:AlternateContent>
  <xr:revisionPtr revIDLastSave="0" documentId="8_{597F3129-D5E5-428D-8F33-F4ABF5AB1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1" l="1"/>
  <c r="D32" i="1"/>
  <c r="D31" i="1"/>
  <c r="D30" i="1"/>
  <c r="D29" i="1"/>
  <c r="D28" i="1"/>
  <c r="D27" i="1"/>
  <c r="D26" i="1"/>
  <c r="D25" i="1"/>
  <c r="D24" i="1"/>
  <c r="D23" i="1"/>
  <c r="D34" i="1" s="1"/>
  <c r="D18" i="1"/>
  <c r="E18" i="1" s="1"/>
  <c r="E19" i="1" s="1"/>
  <c r="D17" i="1"/>
  <c r="D15" i="1"/>
  <c r="E15" i="1" s="1"/>
  <c r="E16" i="1" s="1"/>
  <c r="D13" i="1"/>
  <c r="E13" i="1" s="1"/>
  <c r="E14" i="1" s="1"/>
  <c r="D12" i="1"/>
  <c r="D9" i="1"/>
  <c r="D6" i="1"/>
  <c r="D5" i="1"/>
  <c r="D4" i="1"/>
  <c r="D10" i="1" s="1"/>
  <c r="D20" i="1" l="1"/>
  <c r="B36" i="1" s="1"/>
</calcChain>
</file>

<file path=xl/sharedStrings.xml><?xml version="1.0" encoding="utf-8"?>
<sst xmlns="http://schemas.openxmlformats.org/spreadsheetml/2006/main" count="47" uniqueCount="40">
  <si>
    <t>PENGELUARAN BAHAN</t>
  </si>
  <si>
    <t>BAHAN</t>
  </si>
  <si>
    <t>SATUAN/KG</t>
  </si>
  <si>
    <t>HARGA</t>
  </si>
  <si>
    <t>TOTAL PRODUKSI</t>
  </si>
  <si>
    <t>/KG</t>
  </si>
  <si>
    <t>GULA</t>
  </si>
  <si>
    <t>TERIGU</t>
  </si>
  <si>
    <t>TELUR</t>
  </si>
  <si>
    <t>MINYAK</t>
  </si>
  <si>
    <t>Total /hari</t>
  </si>
  <si>
    <t>LAIN-LAIN</t>
  </si>
  <si>
    <t>GAS</t>
  </si>
  <si>
    <t>TOTAL</t>
  </si>
  <si>
    <t>JENIS</t>
  </si>
  <si>
    <t>STIKER</t>
  </si>
  <si>
    <t>SEMUA</t>
  </si>
  <si>
    <t>TOTAL /HARI</t>
  </si>
  <si>
    <t>PLASTIK</t>
  </si>
  <si>
    <t>TOTAL/HARI</t>
  </si>
  <si>
    <t>MIKA</t>
  </si>
  <si>
    <t>Toples pia</t>
  </si>
  <si>
    <t>TOTAL PENGELUARAN</t>
  </si>
  <si>
    <t>NAMA PRODUKSI</t>
  </si>
  <si>
    <t>HASIL</t>
  </si>
  <si>
    <t>Harga/pcs</t>
  </si>
  <si>
    <t>Total</t>
  </si>
  <si>
    <t>PIA ORI</t>
  </si>
  <si>
    <t>PIA COKLAT</t>
  </si>
  <si>
    <t>KEMBANG SIRIH</t>
  </si>
  <si>
    <t>KECIPIR</t>
  </si>
  <si>
    <t>SALE B</t>
  </si>
  <si>
    <t>SALE K</t>
  </si>
  <si>
    <t>KUPING GAJAH</t>
  </si>
  <si>
    <t>LADRANG</t>
  </si>
  <si>
    <t>PASTEL CUMI</t>
  </si>
  <si>
    <t>PIA TOPLES ORI</t>
  </si>
  <si>
    <t>PIA TOPLES COKLAT</t>
  </si>
  <si>
    <t>TOTAL/PENDAPATAN</t>
  </si>
  <si>
    <t>LABA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</si>
</sst>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44" formatCode="_-&quot;Rp&quot;* #,##0.00_-;\-&quot;Rp&quot;* #,##0.00_-;_-&quot;Rp&quot;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66FFFF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/>
    </xf>
    <xf numFmtId="42" fontId="1" fillId="2" borderId="1" xfId="0" applyNumberFormat="1" applyFont="1" applyFill="1" applyBorder="1" applyAlignment="1">
      <alignment horizontal="center"/>
    </xf>
    <xf numFmtId="42" fontId="3" fillId="0" borderId="1" xfId="0" applyNumberFormat="1" applyFont="1" applyBorder="1" applyAlignment="1">
      <alignment horizontal="center" vertical="center"/>
    </xf>
    <xf numFmtId="42" fontId="3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2" fontId="3" fillId="0" borderId="4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42" fontId="2" fillId="4" borderId="4" xfId="0" applyNumberFormat="1" applyFont="1" applyFill="1" applyBorder="1" applyAlignment="1">
      <alignment horizontal="center"/>
    </xf>
    <xf numFmtId="42" fontId="2" fillId="4" borderId="5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42" fontId="2" fillId="4" borderId="4" xfId="0" applyNumberFormat="1" applyFont="1" applyFill="1" applyBorder="1" applyAlignment="1">
      <alignment horizontal="center" vertical="center"/>
    </xf>
    <xf numFmtId="42" fontId="2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6" zoomScale="85" zoomScaleNormal="85" workbookViewId="0">
      <selection sqref="A1:E36"/>
    </sheetView>
  </sheetViews>
  <sheetFormatPr defaultRowHeight="15" x14ac:dyDescent="0.25"/>
  <cols>
    <col min="1" max="1" width="23.85546875" bestFit="1" customWidth="1"/>
    <col min="2" max="2" width="17.7109375" bestFit="1" customWidth="1"/>
    <col min="3" max="3" width="17.5703125" bestFit="1" customWidth="1"/>
    <col min="4" max="4" width="19" bestFit="1" customWidth="1"/>
    <col min="5" max="5" width="15.28515625" bestFit="1" customWidth="1"/>
  </cols>
  <sheetData>
    <row r="1" spans="1:5" ht="20.25" thickTop="1" thickBot="1" x14ac:dyDescent="0.3">
      <c r="A1" s="22" t="s">
        <v>0</v>
      </c>
      <c r="B1" s="22"/>
      <c r="C1" s="22"/>
      <c r="D1" s="22"/>
      <c r="E1" s="22"/>
    </row>
    <row r="2" spans="1:5" ht="20.25" thickTop="1" thickBot="1" x14ac:dyDescent="0.3">
      <c r="A2" s="23" t="s">
        <v>1</v>
      </c>
      <c r="B2" s="23" t="s">
        <v>2</v>
      </c>
      <c r="C2" s="23" t="s">
        <v>3</v>
      </c>
      <c r="D2" s="25" t="s">
        <v>4</v>
      </c>
      <c r="E2" s="23"/>
    </row>
    <row r="3" spans="1:5" ht="20.25" thickTop="1" thickBot="1" x14ac:dyDescent="0.3">
      <c r="A3" s="24"/>
      <c r="B3" s="24"/>
      <c r="C3" s="24"/>
      <c r="D3" s="1"/>
      <c r="E3" s="2" t="s">
        <v>5</v>
      </c>
    </row>
    <row r="4" spans="1:5" ht="20.25" thickTop="1" thickBot="1" x14ac:dyDescent="0.35">
      <c r="A4" s="3" t="s">
        <v>6</v>
      </c>
      <c r="B4" s="4">
        <v>141</v>
      </c>
      <c r="C4" s="5">
        <v>15000</v>
      </c>
      <c r="D4" s="20">
        <f>B4*C4</f>
        <v>2115000</v>
      </c>
      <c r="E4" s="21"/>
    </row>
    <row r="5" spans="1:5" ht="20.25" thickTop="1" thickBot="1" x14ac:dyDescent="0.35">
      <c r="A5" s="3" t="s">
        <v>7</v>
      </c>
      <c r="B5" s="4">
        <v>125</v>
      </c>
      <c r="C5" s="5">
        <v>6800</v>
      </c>
      <c r="D5" s="29">
        <f>B5*C5</f>
        <v>850000</v>
      </c>
      <c r="E5" s="30"/>
    </row>
    <row r="6" spans="1:5" ht="20.25" thickTop="1" thickBot="1" x14ac:dyDescent="0.35">
      <c r="A6" s="3" t="s">
        <v>8</v>
      </c>
      <c r="B6" s="4">
        <v>50</v>
      </c>
      <c r="C6" s="5">
        <v>26000</v>
      </c>
      <c r="D6" s="29">
        <f>C6</f>
        <v>26000</v>
      </c>
      <c r="E6" s="30"/>
    </row>
    <row r="7" spans="1:5" ht="20.25" thickTop="1" thickBot="1" x14ac:dyDescent="0.35">
      <c r="A7" s="3" t="s">
        <v>9</v>
      </c>
      <c r="B7" s="4"/>
      <c r="C7" s="5" t="s">
        <v>10</v>
      </c>
      <c r="D7" s="29">
        <v>234000</v>
      </c>
      <c r="E7" s="30"/>
    </row>
    <row r="8" spans="1:5" ht="20.25" thickTop="1" thickBot="1" x14ac:dyDescent="0.35">
      <c r="A8" s="3" t="s">
        <v>11</v>
      </c>
      <c r="B8" s="4"/>
      <c r="C8" s="5" t="s">
        <v>10</v>
      </c>
      <c r="D8" s="29">
        <v>150000</v>
      </c>
      <c r="E8" s="30"/>
    </row>
    <row r="9" spans="1:5" ht="20.25" thickTop="1" thickBot="1" x14ac:dyDescent="0.35">
      <c r="A9" s="3" t="s">
        <v>12</v>
      </c>
      <c r="B9" s="4">
        <v>7</v>
      </c>
      <c r="C9" s="5">
        <v>18000</v>
      </c>
      <c r="D9" s="29">
        <f>B9*C9</f>
        <v>126000</v>
      </c>
      <c r="E9" s="30"/>
    </row>
    <row r="10" spans="1:5" ht="20.25" thickTop="1" thickBot="1" x14ac:dyDescent="0.35">
      <c r="A10" s="31" t="s">
        <v>13</v>
      </c>
      <c r="B10" s="31"/>
      <c r="C10" s="31"/>
      <c r="D10" s="32">
        <f>SUM(D4:D9)</f>
        <v>3501000</v>
      </c>
      <c r="E10" s="33"/>
    </row>
    <row r="11" spans="1:5" ht="20.25" thickTop="1" thickBot="1" x14ac:dyDescent="0.35">
      <c r="A11" s="6"/>
      <c r="B11" s="6"/>
      <c r="C11" s="6"/>
      <c r="D11" s="6"/>
      <c r="E11" s="6"/>
    </row>
    <row r="12" spans="1:5" ht="20.25" thickTop="1" thickBot="1" x14ac:dyDescent="0.35">
      <c r="A12" s="7" t="s">
        <v>1</v>
      </c>
      <c r="B12" s="7" t="s">
        <v>14</v>
      </c>
      <c r="C12" s="7" t="s">
        <v>3</v>
      </c>
      <c r="D12" s="7">
        <f>SUM(B23:B31)</f>
        <v>530</v>
      </c>
      <c r="E12" s="7" t="s">
        <v>3</v>
      </c>
    </row>
    <row r="13" spans="1:5" ht="20.25" thickTop="1" thickBot="1" x14ac:dyDescent="0.35">
      <c r="A13" s="8" t="s">
        <v>15</v>
      </c>
      <c r="B13" s="9" t="s">
        <v>16</v>
      </c>
      <c r="C13" s="4">
        <v>80</v>
      </c>
      <c r="D13" s="10">
        <f>SUM(B23:B31)</f>
        <v>530</v>
      </c>
      <c r="E13" s="11">
        <f>SUM(C13*D13)</f>
        <v>42400</v>
      </c>
    </row>
    <row r="14" spans="1:5" ht="20.25" thickTop="1" thickBot="1" x14ac:dyDescent="0.35">
      <c r="A14" s="34" t="s">
        <v>17</v>
      </c>
      <c r="B14" s="34"/>
      <c r="C14" s="34"/>
      <c r="D14" s="12"/>
      <c r="E14" s="11">
        <f>SUM(E13)</f>
        <v>42400</v>
      </c>
    </row>
    <row r="15" spans="1:5" ht="20.25" thickTop="1" thickBot="1" x14ac:dyDescent="0.35">
      <c r="A15" s="13" t="s">
        <v>18</v>
      </c>
      <c r="B15" s="9" t="s">
        <v>16</v>
      </c>
      <c r="C15" s="4">
        <v>350</v>
      </c>
      <c r="D15" s="10">
        <f>SUM(B23:B32)</f>
        <v>580</v>
      </c>
      <c r="E15" s="11">
        <f t="shared" ref="E15:E18" si="0">SUM(C15*D15)</f>
        <v>203000</v>
      </c>
    </row>
    <row r="16" spans="1:5" ht="20.25" thickTop="1" thickBot="1" x14ac:dyDescent="0.3">
      <c r="A16" s="35" t="s">
        <v>19</v>
      </c>
      <c r="B16" s="35"/>
      <c r="C16" s="35"/>
      <c r="D16" s="12"/>
      <c r="E16" s="11">
        <f>SUM(E15)</f>
        <v>203000</v>
      </c>
    </row>
    <row r="17" spans="1:5" ht="20.25" thickTop="1" thickBot="1" x14ac:dyDescent="0.3">
      <c r="A17" s="14" t="s">
        <v>20</v>
      </c>
      <c r="B17" s="9" t="s">
        <v>16</v>
      </c>
      <c r="C17" s="10">
        <v>200</v>
      </c>
      <c r="D17" s="10">
        <f>SUM(H18)</f>
        <v>0</v>
      </c>
      <c r="E17" s="11"/>
    </row>
    <row r="18" spans="1:5" ht="20.25" thickTop="1" thickBot="1" x14ac:dyDescent="0.3">
      <c r="A18" s="14"/>
      <c r="B18" s="9" t="s">
        <v>21</v>
      </c>
      <c r="C18" s="10">
        <v>500</v>
      </c>
      <c r="D18" s="10">
        <f>SUM(B32:B33)</f>
        <v>100</v>
      </c>
      <c r="E18" s="11">
        <f t="shared" si="0"/>
        <v>50000</v>
      </c>
    </row>
    <row r="19" spans="1:5" ht="20.25" thickTop="1" thickBot="1" x14ac:dyDescent="0.35">
      <c r="A19" s="34" t="s">
        <v>19</v>
      </c>
      <c r="B19" s="34"/>
      <c r="C19" s="34"/>
      <c r="D19" s="12"/>
      <c r="E19" s="11">
        <f>SUM(E17:E18)</f>
        <v>50000</v>
      </c>
    </row>
    <row r="20" spans="1:5" ht="20.25" thickTop="1" thickBot="1" x14ac:dyDescent="0.35">
      <c r="A20" s="31" t="s">
        <v>22</v>
      </c>
      <c r="B20" s="31"/>
      <c r="C20" s="31"/>
      <c r="D20" s="36">
        <f>SUM(D10+E14+E16+E19)</f>
        <v>3796400</v>
      </c>
      <c r="E20" s="37"/>
    </row>
    <row r="21" spans="1:5" ht="20.25" thickTop="1" thickBot="1" x14ac:dyDescent="0.35">
      <c r="A21" s="6"/>
      <c r="B21" s="6"/>
      <c r="C21" s="6"/>
      <c r="D21" s="6"/>
      <c r="E21" s="6"/>
    </row>
    <row r="22" spans="1:5" ht="20.25" thickTop="1" thickBot="1" x14ac:dyDescent="0.35">
      <c r="A22" s="15" t="s">
        <v>23</v>
      </c>
      <c r="B22" s="15" t="s">
        <v>24</v>
      </c>
      <c r="C22" s="15" t="s">
        <v>25</v>
      </c>
      <c r="D22" s="15" t="s">
        <v>26</v>
      </c>
    </row>
    <row r="23" spans="1:5" ht="20.25" thickTop="1" thickBot="1" x14ac:dyDescent="0.3">
      <c r="A23" s="14" t="s">
        <v>27</v>
      </c>
      <c r="B23" s="10">
        <v>50</v>
      </c>
      <c r="C23" s="11">
        <v>15000</v>
      </c>
      <c r="D23" s="11">
        <f>B23*C23</f>
        <v>750000</v>
      </c>
    </row>
    <row r="24" spans="1:5" ht="20.25" thickTop="1" thickBot="1" x14ac:dyDescent="0.3">
      <c r="A24" s="14" t="s">
        <v>28</v>
      </c>
      <c r="B24" s="10">
        <v>50</v>
      </c>
      <c r="C24" s="11">
        <v>12000</v>
      </c>
      <c r="D24" s="11">
        <f t="shared" ref="D24:D33" si="1">B24*C24</f>
        <v>600000</v>
      </c>
    </row>
    <row r="25" spans="1:5" ht="20.25" thickTop="1" thickBot="1" x14ac:dyDescent="0.3">
      <c r="A25" s="14" t="s">
        <v>29</v>
      </c>
      <c r="B25" s="10">
        <v>50</v>
      </c>
      <c r="C25" s="11">
        <v>16000</v>
      </c>
      <c r="D25" s="11">
        <f t="shared" si="1"/>
        <v>800000</v>
      </c>
    </row>
    <row r="26" spans="1:5" ht="20.25" thickTop="1" thickBot="1" x14ac:dyDescent="0.3">
      <c r="A26" s="8" t="s">
        <v>30</v>
      </c>
      <c r="B26" s="16">
        <v>50</v>
      </c>
      <c r="C26" s="17">
        <v>14000</v>
      </c>
      <c r="D26" s="11">
        <f t="shared" si="1"/>
        <v>700000</v>
      </c>
    </row>
    <row r="27" spans="1:5" ht="20.25" thickTop="1" thickBot="1" x14ac:dyDescent="0.3">
      <c r="A27" s="8" t="s">
        <v>31</v>
      </c>
      <c r="B27" s="16">
        <v>100</v>
      </c>
      <c r="C27" s="17">
        <v>30000</v>
      </c>
      <c r="D27" s="11">
        <f t="shared" si="1"/>
        <v>3000000</v>
      </c>
    </row>
    <row r="28" spans="1:5" ht="20.25" thickTop="1" thickBot="1" x14ac:dyDescent="0.3">
      <c r="A28" s="8" t="s">
        <v>32</v>
      </c>
      <c r="B28" s="16">
        <v>100</v>
      </c>
      <c r="C28" s="17">
        <v>14000</v>
      </c>
      <c r="D28" s="11">
        <f t="shared" si="1"/>
        <v>1400000</v>
      </c>
    </row>
    <row r="29" spans="1:5" ht="20.25" thickTop="1" thickBot="1" x14ac:dyDescent="0.3">
      <c r="A29" s="8" t="s">
        <v>33</v>
      </c>
      <c r="B29" s="16">
        <v>50</v>
      </c>
      <c r="C29" s="17">
        <v>16000</v>
      </c>
      <c r="D29" s="11">
        <f t="shared" si="1"/>
        <v>800000</v>
      </c>
    </row>
    <row r="30" spans="1:5" ht="20.25" thickTop="1" thickBot="1" x14ac:dyDescent="0.3">
      <c r="A30" s="8" t="s">
        <v>34</v>
      </c>
      <c r="B30" s="16">
        <v>30</v>
      </c>
      <c r="C30" s="17">
        <v>15000</v>
      </c>
      <c r="D30" s="11">
        <f t="shared" si="1"/>
        <v>450000</v>
      </c>
    </row>
    <row r="31" spans="1:5" ht="20.25" thickTop="1" thickBot="1" x14ac:dyDescent="0.3">
      <c r="A31" s="8" t="s">
        <v>35</v>
      </c>
      <c r="B31" s="16">
        <v>50</v>
      </c>
      <c r="C31" s="17">
        <v>17000</v>
      </c>
      <c r="D31" s="11">
        <f t="shared" si="1"/>
        <v>850000</v>
      </c>
    </row>
    <row r="32" spans="1:5" ht="20.25" thickTop="1" thickBot="1" x14ac:dyDescent="0.3">
      <c r="A32" s="8" t="s">
        <v>36</v>
      </c>
      <c r="B32" s="16">
        <v>50</v>
      </c>
      <c r="C32" s="17">
        <v>15000</v>
      </c>
      <c r="D32" s="11">
        <f t="shared" si="1"/>
        <v>750000</v>
      </c>
    </row>
    <row r="33" spans="1:4" ht="20.25" thickTop="1" thickBot="1" x14ac:dyDescent="0.35">
      <c r="A33" s="14" t="s">
        <v>37</v>
      </c>
      <c r="B33" s="4">
        <v>50</v>
      </c>
      <c r="C33" s="18">
        <v>15000</v>
      </c>
      <c r="D33" s="11">
        <f t="shared" si="1"/>
        <v>750000</v>
      </c>
    </row>
    <row r="34" spans="1:4" ht="27.75" thickTop="1" thickBot="1" x14ac:dyDescent="0.45">
      <c r="A34" s="26" t="s">
        <v>38</v>
      </c>
      <c r="B34" s="27"/>
      <c r="C34" s="28"/>
      <c r="D34" s="11">
        <f>SUM(D23:D33)</f>
        <v>10850000</v>
      </c>
    </row>
    <row r="35" spans="1:4" ht="16.5" thickTop="1" thickBot="1" x14ac:dyDescent="0.3"/>
    <row r="36" spans="1:4" ht="20.25" thickTop="1" thickBot="1" x14ac:dyDescent="0.35">
      <c r="A36" s="7" t="s">
        <v>39</v>
      </c>
      <c r="B36" s="19">
        <f>D34-D20</f>
        <v>7053600</v>
      </c>
    </row>
    <row r="37" spans="1:4" ht="15.75" thickTop="1" x14ac:dyDescent="0.25"/>
  </sheetData>
  <mergeCells count="19">
    <mergeCell ref="A34:C34"/>
    <mergeCell ref="D5:E5"/>
    <mergeCell ref="D6:E6"/>
    <mergeCell ref="D7:E7"/>
    <mergeCell ref="D8:E8"/>
    <mergeCell ref="D9:E9"/>
    <mergeCell ref="A10:C10"/>
    <mergeCell ref="D10:E10"/>
    <mergeCell ref="A14:C14"/>
    <mergeCell ref="A16:C16"/>
    <mergeCell ref="A19:C19"/>
    <mergeCell ref="A20:C20"/>
    <mergeCell ref="D20:E20"/>
    <mergeCell ref="D4:E4"/>
    <mergeCell ref="A1:E1"/>
    <mergeCell ref="A2:A3"/>
    <mergeCell ref="B2:B3"/>
    <mergeCell ref="C2:C3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Zidane Elfasya</cp:lastModifiedBy>
  <dcterms:created xsi:type="dcterms:W3CDTF">2026-07-19T02:34:10Z</dcterms:created>
  <dcterms:modified xsi:type="dcterms:W3CDTF">2026-07-20T15:45:18Z</dcterms:modified>
</cp:coreProperties>
</file>